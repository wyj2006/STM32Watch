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odes\Watch\PCB\"/>
    </mc:Choice>
  </mc:AlternateContent>
  <xr:revisionPtr revIDLastSave="0" documentId="13_ncr:1_{B6C73FD0-36E7-443B-87DB-A432F290267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3" i="1"/>
  <c r="E4" i="1"/>
  <c r="E5" i="1"/>
  <c r="E7" i="1"/>
  <c r="E8" i="1"/>
  <c r="E20" i="1"/>
  <c r="E21" i="1"/>
  <c r="E23" i="1"/>
  <c r="E24" i="1"/>
  <c r="E2" i="1"/>
  <c r="C14" i="1"/>
  <c r="D14" i="1" s="1"/>
  <c r="C13" i="1"/>
  <c r="D13" i="1" s="1"/>
  <c r="C12" i="1"/>
  <c r="D12" i="1" s="1"/>
  <c r="C11" i="1"/>
  <c r="C10" i="1"/>
  <c r="C9" i="1"/>
  <c r="D9" i="1" s="1"/>
  <c r="C19" i="1"/>
  <c r="D19" i="1" s="1"/>
  <c r="C18" i="1"/>
  <c r="C17" i="1"/>
  <c r="D17" i="1" s="1"/>
  <c r="C16" i="1"/>
  <c r="C15" i="1"/>
  <c r="D15" i="1" s="1"/>
  <c r="D18" i="1"/>
  <c r="C6" i="1"/>
  <c r="D6" i="1" s="1"/>
  <c r="D7" i="1"/>
  <c r="D16" i="1"/>
  <c r="D24" i="1"/>
  <c r="D23" i="1"/>
  <c r="C22" i="1"/>
  <c r="D22" i="1" s="1"/>
  <c r="D5" i="1"/>
  <c r="D8" i="1"/>
  <c r="D10" i="1"/>
  <c r="D11" i="1"/>
  <c r="D20" i="1"/>
  <c r="D21" i="1"/>
  <c r="D3" i="1"/>
  <c r="D4" i="1"/>
  <c r="D2" i="1"/>
  <c r="D25" i="1" s="1"/>
</calcChain>
</file>

<file path=xl/sharedStrings.xml><?xml version="1.0" encoding="utf-8"?>
<sst xmlns="http://schemas.openxmlformats.org/spreadsheetml/2006/main" count="72" uniqueCount="62">
  <si>
    <t>名称</t>
    <phoneticPr fontId="1" type="noConversion"/>
  </si>
  <si>
    <t>stm32f103c8t6</t>
    <phoneticPr fontId="1" type="noConversion"/>
  </si>
  <si>
    <t>购买链接</t>
    <phoneticPr fontId="1" type="noConversion"/>
  </si>
  <si>
    <t>数量</t>
    <phoneticPr fontId="1" type="noConversion"/>
  </si>
  <si>
    <t>按键</t>
    <phoneticPr fontId="1" type="noConversion"/>
  </si>
  <si>
    <t>单价</t>
    <phoneticPr fontId="1" type="noConversion"/>
  </si>
  <si>
    <t>OLED屏幕0.96寸</t>
    <phoneticPr fontId="1" type="noConversion"/>
  </si>
  <si>
    <t>表带</t>
    <phoneticPr fontId="1" type="noConversion"/>
  </si>
  <si>
    <t>100nf电容</t>
    <phoneticPr fontId="1" type="noConversion"/>
  </si>
  <si>
    <t>1*4P排母</t>
    <phoneticPr fontId="1" type="noConversion"/>
  </si>
  <si>
    <t>32.768kHz晶振</t>
    <phoneticPr fontId="1" type="noConversion"/>
  </si>
  <si>
    <t>20pf电容</t>
    <phoneticPr fontId="1" type="noConversion"/>
  </si>
  <si>
    <t>TypeC</t>
    <phoneticPr fontId="1" type="noConversion"/>
  </si>
  <si>
    <t>5.1k电阻</t>
    <phoneticPr fontId="1" type="noConversion"/>
  </si>
  <si>
    <t>XC6206P332MR</t>
    <phoneticPr fontId="1" type="noConversion"/>
  </si>
  <si>
    <t>1uf电容</t>
    <phoneticPr fontId="1" type="noConversion"/>
  </si>
  <si>
    <t>总价</t>
    <phoneticPr fontId="1" type="noConversion"/>
  </si>
  <si>
    <t>封装</t>
    <phoneticPr fontId="1" type="noConversion"/>
  </si>
  <si>
    <t>0805</t>
    <phoneticPr fontId="1" type="noConversion"/>
  </si>
  <si>
    <t>LQFP-48_L7.0-W7.0-P0.50-LS9.0-BL</t>
  </si>
  <si>
    <t>HDR-TH_4P-P2.54-V-F</t>
  </si>
  <si>
    <t>SMD3215-2P</t>
  </si>
  <si>
    <t>TYPE-C-6P</t>
  </si>
  <si>
    <t>SOT-23-3L</t>
  </si>
  <si>
    <t>https://detail.tmall.com/item.htm?abbucket=11&amp;id=762196206544&amp;mi_id=0000MFV83QHSTPLaa3kSatZD5vNd9k0lzMQ-YoUCI5zce-g&amp;ns=1&amp;priceTId=213e091417615383647787968e11d8&amp;skuId=5253527517105&amp;spm=a21n57.1.hoverItem.2&amp;utparam=%7B%22aplus_abtest%22%3A%2282b1d09c12b36363234bd046a17e54e4%22%7D&amp;xxc=taobaoSearch</t>
    <phoneticPr fontId="1" type="noConversion"/>
  </si>
  <si>
    <t>成本</t>
    <phoneticPr fontId="1" type="noConversion"/>
  </si>
  <si>
    <t>3.7V锂电池</t>
    <phoneticPr fontId="1" type="noConversion"/>
  </si>
  <si>
    <t>IP5306</t>
    <phoneticPr fontId="1" type="noConversion"/>
  </si>
  <si>
    <t>1*4P反弯排针</t>
    <phoneticPr fontId="1" type="noConversion"/>
  </si>
  <si>
    <t>3k电阻</t>
    <phoneticPr fontId="1" type="noConversion"/>
  </si>
  <si>
    <t>11k电阻</t>
    <phoneticPr fontId="1" type="noConversion"/>
  </si>
  <si>
    <t>1*2P反弯排针</t>
    <phoneticPr fontId="1" type="noConversion"/>
  </si>
  <si>
    <t>HDR-TH_2P-P2.54-H-M-W10.4</t>
  </si>
  <si>
    <t>HDR-TH_4P-P2.54-H-M-W10.4</t>
  </si>
  <si>
    <t>10uF电容</t>
    <phoneticPr fontId="1" type="noConversion"/>
  </si>
  <si>
    <t>22uF电容</t>
    <phoneticPr fontId="1" type="noConversion"/>
  </si>
  <si>
    <t>2电阻</t>
    <phoneticPr fontId="1" type="noConversion"/>
  </si>
  <si>
    <t>0.5电阻</t>
    <phoneticPr fontId="1" type="noConversion"/>
  </si>
  <si>
    <t>1uH电感</t>
    <phoneticPr fontId="1" type="noConversion"/>
  </si>
  <si>
    <t>ESOP-8_L4.9-W3.9-P1.27-LS6.0-BL-EP</t>
  </si>
  <si>
    <t>实际购买</t>
    <phoneticPr fontId="1" type="noConversion"/>
  </si>
  <si>
    <t>https://detail.tmall.com/item.htm?id=41234671442&amp;mi_id=00003AAeSdhXf_6cJHLgoO4hzLRntkx4kRiWPG2-TyrDHME&amp;skuId=3129099470954&amp;spm=tbpc.boughtlist.suborder_itemtitle.1.68a62e8dxB965G</t>
    <phoneticPr fontId="1" type="noConversion"/>
  </si>
  <si>
    <t>https://item.taobao.com/item.htm?abbucket=11&amp;id=818591666703&amp;mi_id=000025WvXo3V1tPCbsy-o0wNFrhygIqH-LAiFwJN6M1GONQ&amp;ns=1&amp;priceTId=2147804017616575149658725e0eaf&amp;skuId=5691215203228&amp;spm=a21n57.1.hoverItem.2&amp;utparam=%7B%22aplus_abtest%22%3A%228029cc430293b67bb3b4d8f812f2856f%22%7D&amp;xxc=taobaoSearch</t>
    <phoneticPr fontId="1" type="noConversion"/>
  </si>
  <si>
    <t>https://item.taobao.com/item.htm?ali_refid=a3_430582_1006%3A1150755585%3AH%3A2i7DwO68wrwGGnWKwfsGgQ%3D%3D%3Ae04daf305366d6adc3018d5a9685f6cf&amp;ali_trackid=282_e04daf305366d6adc3018d5a9685f6cf&amp;id=917777171756&amp;mi_id=0000CQnuePxgc_74nWYuiRGwlo_56ZbKsXcBRt6NC2SK6V4&amp;mm_sceneid=1_0_124108251_0&amp;priceTId=2150493c17616572425051714e0f37&amp;skuId=5953969726732&amp;spm=a21n57.1.hoverItem.1&amp;utparam=%7B%22aplus_abtest%22%3A%223ad6ce5945bd4344dc441a9f89e8802e%22%7D&amp;xxc=ad_ztc</t>
    <phoneticPr fontId="1" type="noConversion"/>
  </si>
  <si>
    <t>https://item.taobao.com/item.htm?ali_refid=a3_430582_1006%3A1121464922%3AH%3AN1%2F7Mlki%2FVnP69Nt8XY8bA%3D%3D%3A265a525ab40ab81a5a2d45cff3f1f04e&amp;ali_trackid=282_265a525ab40ab81a5a2d45cff3f1f04e&amp;id=661865204966&amp;mi_id=00008ww44Qy1m7_wJk4w0Lw8vKEBvGpWoPpR6D0YvZpCcPw&amp;mm_sceneid=1_0_111680763_0&amp;priceTId=2147804017616576928496792e0eaf&amp;spm=a21n57.1.hoverItem.1&amp;utparam=%7B%22aplus_abtest%22%3A%224b596e9332f55e8076beabec0d255f86%22%7D&amp;xxc=ad_ztc</t>
    <phoneticPr fontId="1" type="noConversion"/>
  </si>
  <si>
    <t>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5887249590273&amp;spm=a21n57.1.hoverItem.1&amp;utparam=%7B%22aplus_abtest%22%3A%22c262d592db8699fd14e6df87c62412a3%22%7D&amp;xxc=ad_ztc</t>
    <phoneticPr fontId="1" type="noConversion"/>
  </si>
  <si>
    <t>https://detail.tmall.com/item.htm?abbucket=11&amp;id=744920698405&amp;mi_id=00006zFY3Su5HnIaWpKWMGK9zr788DpFnmyn7rZB_aPwyDE&amp;ns=1&amp;priceTId=2147875d17616587474515001e0f06&amp;skuId=5139328589910&amp;spm=a21n57.1.hoverItem.2&amp;utparam=%7B%22aplus_abtest%22%3A%229d7576c40e5680f00f05922020a3d47e%22%7D&amp;xxc=taobaoSearch</t>
    <phoneticPr fontId="1" type="noConversion"/>
  </si>
  <si>
    <t>https://detail.tmall.com/item.htm?abbucket=11&amp;id=16984526130&amp;mi_id=00006ct7uich7uWMQTqCH36k531WB7iLVSxmsdV2pq7hz4A&amp;ns=1&amp;priceTId=2147875d17616587060372018e0f06&amp;skuId=3972253815754&amp;spm=a21n57.1.hoverItem.2&amp;utparam=%7B%22aplus_abtest%22%3A%228d510e77de99e6cb3021e3d1bbfa8a66%22%7D&amp;xxc=taobaoSearch</t>
    <phoneticPr fontId="1" type="noConversion"/>
  </si>
  <si>
    <t>https://item.taobao.com/item.htm?ali_refid=a3_430673_1006%3A1301150119%3AN%3AqSoTPPop0lsoTlT303GNfywdOHXfRGA2%3A185cfea4f64ced19648ccbf6f82ded4d&amp;ali_trackid=1_185cfea4f64ced19648ccbf6f82ded4d&amp;id=619822498608&amp;mi_id=0000A3GKHVV0T66T0aEbSE86XcCQHy_CP_ujVufCT9Nk0Uo&amp;mm_sceneid=1_0_1015530126_0&amp;priceTId=2147876e17614547505596058e0e63&amp;skuId=4550777703787&amp;spm=a21n57.sem.item.13&amp;utparam=%7B%22aplus_abtest%22%3A%22c46f22cef8052123988916c517e9cb9c%22%7D&amp;xxc=ad_ztc</t>
    <phoneticPr fontId="1" type="noConversion"/>
  </si>
  <si>
    <t>https://item.taobao.com/item.htm?ali_refid=a3_420434_1006%3A1277570097%3AN%3AB%2BkOVV%2BHdZncUH%2FNazPUxOyZ4gr%2FcyYp%3A2dc476bb65cd14726e37c7f2bce2bbe7&amp;ali_trackid=1_2dc476bb65cd14726e37c7f2bce2bbe7&amp;id=610732741297&amp;mi_id=000030XzoPuCjNymGDqhtDiOkX4ky6ftPZKQ4G_ltFYriJE&amp;mm_sceneid=1_0_83474843_0&amp;priceTId=214786a417614568954496204e0e73&amp;skuId=4502253595018&amp;spm=a21n57.1.hoverItem.2&amp;utparam=%7B%22aplus_abtest%22%3A%220b97c643cfc19e4500487c87499aa980%22%7D&amp;xxc=ad_ztc</t>
    <phoneticPr fontId="1" type="noConversion"/>
  </si>
  <si>
    <t>https://detail.tmall.com/item.htm?ali_refid=a3_430582_1006%3A1109983619%3AH%3AWFoiFXIH007ZiutAq%2B3BZQ%3D%3D%3Aaf63b6d045a3f83970c20bf5d91fc380&amp;ali_trackid=318_af63b6d045a3f83970c20bf5d91fc380&amp;id=42044259331&amp;mi_id=00003sNKFX4l4aEAzZs_CCNa_pNF-vZ4tNRYfeXr-6zNUuc&amp;mm_sceneid=0_0_98938874_0&amp;priceTId=2147862617614596392585223e0e52&amp;skuId=5274606761739&amp;spm=a21n57.1.hoverItem.1&amp;utparam=%7B%22aplus_abtest%22%3A%226ad5bba099b83a71073b0dd5facc8f6b%22%7D&amp;xxc=ad_ztc</t>
    <phoneticPr fontId="1" type="noConversion"/>
  </si>
  <si>
    <t>https://item.taobao.com/item.htm?ali_refid=a3_430582_1006%3A1150755585%3AH%3A2i7DwO68wrwGGnWKwfsGgQ%3D%3D%3Ae04daf305366d6adc3018d5a9685f6cf&amp;ali_trackid=282_e04daf305366d6adc3018d5a9685f6cf&amp;id=917777171756&amp;mi_id=0000CQnuePxgc_74nWYuiRGwlo_56ZbKsXcBRt6NC2SK6V4&amp;mm_sceneid=1_0_124108251_0&amp;priceTId=2150493c17616572425051714e0f37&amp;skuId=5953969726744&amp;spm=a21n57.1.hoverItem.1&amp;utparam=%7B%22aplus_abtest%22%3A%223ad6ce5945bd4344dc441a9f89e8802e%22%7D&amp;xxc=ad_ztc</t>
    <phoneticPr fontId="1" type="noConversion"/>
  </si>
  <si>
    <t>https://item.taobao.com/item.htm?abbucket=11&amp;id=643412491153&amp;mi_id=000093Q5lilvyPeTxK0x9d5QEpfUCRr8TzT2IDkjBacFbbw&amp;ns=1&amp;priceTId=2147814717614803969874586e0e9b&amp;skuId=4622854456307&amp;spm=a21n57.1.hoverItem.49&amp;utparam=%7B%22aplus_abtest%22%3A%220d912624e318f6e56804fca08870d8b2%22%7D&amp;xxc=taobaoSearch</t>
    <phoneticPr fontId="1" type="noConversion"/>
  </si>
  <si>
    <t>https://detail.tmall.com/item.htm?abbucket=11&amp;id=744920698405&amp;mi_id=00006zFY3Su5HnIaWpKWMGK9zr788DpFnmyn7rZB_aPwyDE&amp;ns=1&amp;priceTId=2147875d17616587474515001e0f06&amp;skuId=5139328589869&amp;spm=a21n57.1.hoverItem.2&amp;utparam=%7B%22aplus_abtest%22%3A%229d7576c40e5680f00f05922020a3d47e%22%7D&amp;xxc=taobaoSearch</t>
    <phoneticPr fontId="1" type="noConversion"/>
  </si>
  <si>
    <t>https://detail.tmall.com/item.htm?abbucket=11&amp;id=744920698405&amp;mi_id=00006zFY3Su5HnIaWpKWMGK9zr788DpFnmyn7rZB_aPwyDE&amp;ns=1&amp;priceTId=2147875d17616587474515001e0f06&amp;skuId=5139328589890&amp;spm=a21n57.1.hoverItem.2&amp;utparam=%7B%22aplus_abtest%22%3A%229d7576c40e5680f00f05922020a3d47e%22%7D&amp;xxc=taobaoSearch</t>
    <phoneticPr fontId="1" type="noConversion"/>
  </si>
  <si>
    <t>https://detail.tmall.com/item.htm?abbucket=11&amp;id=744920698405&amp;mi_id=00006zFY3Su5HnIaWpKWMGK9zr788DpFnmyn7rZB_aPwyDE&amp;ns=1&amp;priceTId=2147875d17616587474515001e0f06&amp;skuId=5139328589936&amp;spm=a21n57.1.hoverItem.2&amp;utparam=%7B%22aplus_abtest%22%3A%229d7576c40e5680f00f05922020a3d47e%22%7D&amp;xxc=taobaoSearch</t>
    <phoneticPr fontId="1" type="noConversion"/>
  </si>
  <si>
    <t>https://detail.tmall.com/item.htm?abbucket=11&amp;id=744920698405&amp;mi_id=00006zFY3Su5HnIaWpKWMGK9zr788DpFnmyn7rZB_aPwyDE&amp;ns=1&amp;priceTId=2147875d17616587474515001e0f06&amp;skuId=5139328589902&amp;spm=a21n57.1.hoverItem.2&amp;utparam=%7B%22aplus_abtest%22%3A%229d7576c40e5680f00f05922020a3d47e%22%7D&amp;xxc=taobaoSearch</t>
    <phoneticPr fontId="1" type="noConversion"/>
  </si>
  <si>
    <t>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5887249590190&amp;spm=a21n57.1.hoverItem.1&amp;utparam=%7B%22aplus_abtest%22%3A%22c262d592db8699fd14e6df87c62412a3%22%7D&amp;xxc=ad_ztc</t>
    <phoneticPr fontId="1" type="noConversion"/>
  </si>
  <si>
    <t>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5887249590316&amp;spm=a21n57.1.hoverItem.1&amp;utparam=%7B%22aplus_abtest%22%3A%22c262d592db8699fd14e6df87c62412a3%22%7D&amp;xxc=ad_ztc</t>
    <phoneticPr fontId="1" type="noConversion"/>
  </si>
  <si>
    <t>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5887249590286&amp;spm=a21n57.1.hoverItem.1&amp;utparam=%7B%22aplus_abtest%22%3A%22c262d592db8699fd14e6df87c62412a3%22%7D&amp;xxc=ad_ztc</t>
    <phoneticPr fontId="1" type="noConversion"/>
  </si>
  <si>
    <t>https://detail.tmall.com/item.htm?abbucket=11&amp;id=604488214053&amp;mi_id=0000q54D1mEeq2-kpNVMSm8O-2TZFzAwJixziwFaYFe7JA4&amp;ns=1&amp;priceTId=2147875d17616586169623892e0f06&amp;skuId=5466179842647&amp;spm=a21n57.1.hoverItem.7&amp;utparam=%7B%22aplus_abtest%22%3A%22309d6b90a941bbdfb3a34b5f8a8cd51a%22%7D&amp;xxc=taobaoSearch</t>
    <phoneticPr fontId="1" type="noConversion"/>
  </si>
  <si>
    <t>https://item.taobao.com/item.htm?abbucket=11&amp;id=622298744726&amp;mi_id=0000g2nEvmRX0eRFZcDYP6B4kQAvtg_m7YHJ-xi6wJpSY-4&amp;ns=1&amp;priceTId=213e08d217614828864027089e0fef&amp;spm=a21n57.1.hoverItem.14&amp;utparam=%7B%22aplus_abtest%22%3A%228c09761aba2b87ab29d2a1dc9c443706%22%7D&amp;xxc=taobaoSear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</si>
</sst>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left" vertical="top"/>
    </xf>
    <xf numFmtId="0" fontId="2" fillId="0" borderId="0" xfId="1" applyFill="1" applyAlignment="1">
      <alignment horizontal="left" vertical="top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li_refid=a3_430673_1006%3A1301150119%3AN%3AqSoTPPop0lsoTlT303GNfywdOHXfRGA2%3A185cfea4f64ced19648ccbf6f82ded4d&amp;ali_trackid=1_185cfea4f64ced19648ccbf6f82ded4d&amp;id=619822498608&amp;mi_id=0000A3GKHVV0T66T0aEbSE86XcCQHy_CP_ujVufCT9Nk0Uo&amp;mm_sceneid=1_0_1015530126_0&amp;priceTId=2147876e17614547505596058e0e63&amp;skuId=4550777703787&amp;spm=a21n57.sem.item.13&amp;utparam=%7B%22aplus_abtest%22%3A%22c46f22cef8052123988916c517e9cb9c%22%7D&amp;xxc=ad_ztc" TargetMode="External"/><Relationship Id="rId13" Type="http://schemas.openxmlformats.org/officeDocument/2006/relationships/hyperlink" Target="https://detail.tmall.com/item.htm?abbucket=11&amp;id=744920698405&amp;mi_id=00006zFY3Su5HnIaWpKWMGK9zr788DpFnmyn7rZB_aPwyDE&amp;ns=1&amp;priceTId=2147875d17616587474515001e0f06&amp;skuId=5139328589890&amp;spm=a21n57.1.hoverItem.2&amp;utparam=%7B%22aplus_abtest%22%3A%229d7576c40e5680f00f05922020a3d47e%22%7D&amp;xxc=taobaoSearch" TargetMode="External"/><Relationship Id="rId18" Type="http://schemas.openxmlformats.org/officeDocument/2006/relationships/hyperlink" Target="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286&amp;spm=a21n57.1.hoverItem.1&amp;utparam=%7B%22aplus_abtest%22%3A%22c262d592db8699fd14e6df87c62412a3%22%7D&amp;xxc=ad_ztc" TargetMode="External"/><Relationship Id="rId3" Type="http://schemas.openxmlformats.org/officeDocument/2006/relationships/hyperlink" Target="https://item.taobao.com/item.htm?ali_refid=a3_430582_1006%3A1150755585%3AH%3A2i7DwO68wrwGGnWKwfsGgQ%3D%3D%3Ae04daf305366d6adc3018d5a9685f6cf&amp;ali_trackid=282_e04daf305366d6adc3018d5a9685f6cf&amp;id=917777171756&amp;mi_id=0000CQnuePxgc_74nWYuiRGwlo_56ZbKsXcBRt6NC2SK6V4&amp;mm_sceneid=1_0_124108251_0&amp;priceTId=2150493c17616572425051714e0f37&amp;skuId=5953969726732&amp;spm=a21n57.1.hoverItem.1&amp;utparam=%7B%22aplus_abtest%22%3A%223ad6ce5945bd4344dc441a9f89e8802e%22%7D&amp;xxc=ad_ztc" TargetMode="External"/><Relationship Id="rId7" Type="http://schemas.openxmlformats.org/officeDocument/2006/relationships/hyperlink" Target="https://detail.tmall.com/item.htm?abbucket=11&amp;id=762196206544&amp;mi_id=0000MFV83QHSTPLaa3kSatZD5vNd9k0lzMQ-YoUCI5zce-g&amp;ns=1&amp;priceTId=213e091417615383647787968e11d8&amp;skuId=5253527517105&amp;spm=a21n57.1.hoverItem.2&amp;utparam=%7B%22aplus_abtest%22%3A%2282b1d09c12b36363234bd046a17e54e4%22%7D&amp;xxc=taobaoSearch" TargetMode="External"/><Relationship Id="rId12" Type="http://schemas.openxmlformats.org/officeDocument/2006/relationships/hyperlink" Target="https://detail.tmall.com/item.htm?abbucket=11&amp;id=744920698405&amp;mi_id=00006zFY3Su5HnIaWpKWMGK9zr788DpFnmyn7rZB_aPwyDE&amp;ns=1&amp;priceTId=2147875d17616587474515001e0f06&amp;skuId=5139328589869&amp;spm=a21n57.1.hoverItem.2&amp;utparam=%7B%22aplus_abtest%22%3A%229d7576c40e5680f00f05922020a3d47e%22%7D&amp;xxc=taobaoSearch" TargetMode="External"/><Relationship Id="rId17" Type="http://schemas.openxmlformats.org/officeDocument/2006/relationships/hyperlink" Target="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316&amp;spm=a21n57.1.hoverItem.1&amp;utparam=%7B%22aplus_abtest%22%3A%22c262d592db8699fd14e6df87c62412a3%22%7D&amp;xxc=ad_ztc" TargetMode="External"/><Relationship Id="rId2" Type="http://schemas.openxmlformats.org/officeDocument/2006/relationships/hyperlink" Target="https://item.taobao.com/item.htm?abbucket=11&amp;id=818591666703&amp;mi_id=000025WvXo3V1tPCbsy-o0wNFrhygIqH-LAiFwJN6M1GONQ&amp;ns=1&amp;priceTId=2147804017616575149658725e0eaf&amp;skuId=5691215203228&amp;spm=a21n57.1.hoverItem.2&amp;utparam=%7B%22aplus_abtest%22%3A%228029cc430293b67bb3b4d8f812f2856f%22%7D&amp;xxc=taobaoSearch" TargetMode="External"/><Relationship Id="rId16" Type="http://schemas.openxmlformats.org/officeDocument/2006/relationships/hyperlink" Target="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190&amp;spm=a21n57.1.hoverItem.1&amp;utparam=%7B%22aplus_abtest%22%3A%22c262d592db8699fd14e6df87c62412a3%22%7D&amp;xxc=ad_ztc" TargetMode="External"/><Relationship Id="rId20" Type="http://schemas.openxmlformats.org/officeDocument/2006/relationships/hyperlink" Target="https://item.taobao.com/item.htm?abbucket=11&amp;id=622298744726&amp;mi_id=0000g2nEvmRX0eRFZcDYP6B4kQAvtg_m7YHJ-xi6wJpSY-4&amp;ns=1&amp;priceTId=213e08d217614828864027089e0fef&amp;spm=a21n57.1.hoverItem.14&amp;utparam=%7B%22aplus_abtest%22%3A%228c09761aba2b87ab29d2a1dc9c443706%22%7D&amp;xxc=taobaoSearch" TargetMode="External"/><Relationship Id="rId1" Type="http://schemas.openxmlformats.org/officeDocument/2006/relationships/hyperlink" Target="https://detail.tmall.com/item.htm?id=41234671442&amp;mi_id=00003AAeSdhXf_6cJHLgoO4hzLRntkx4kRiWPG2-TyrDHME&amp;skuId=3129099470954&amp;spm=tbpc.boughtlist.suborder_itemtitle.1.68a62e8dxB965G" TargetMode="External"/><Relationship Id="rId6" Type="http://schemas.openxmlformats.org/officeDocument/2006/relationships/hyperlink" Target="https://detail.tmall.com/item.htm?abbucket=11&amp;id=16984526130&amp;mi_id=00006ct7uich7uWMQTqCH36k531WB7iLVSxmsdV2pq7hz4A&amp;ns=1&amp;priceTId=2147875d17616587060372018e0f06&amp;skuId=3972253815754&amp;spm=a21n57.1.hoverItem.2&amp;utparam=%7B%22aplus_abtest%22%3A%228d510e77de99e6cb3021e3d1bbfa8a66%22%7D&amp;xxc=taobaoSearch" TargetMode="External"/><Relationship Id="rId11" Type="http://schemas.openxmlformats.org/officeDocument/2006/relationships/hyperlink" Target="https://item.taobao.com/item.htm?abbucket=11&amp;id=643412491153&amp;mi_id=000093Q5lilvyPeTxK0x9d5QEpfUCRr8TzT2IDkjBacFbbw&amp;ns=1&amp;priceTId=2147814717614803969874586e0e9b&amp;skuId=4622854456307&amp;spm=a21n57.1.hoverItem.49&amp;utparam=%7B%22aplus_abtest%22%3A%220d912624e318f6e56804fca08870d8b2%22%7D&amp;xxc=taobaoSearch" TargetMode="External"/><Relationship Id="rId5" Type="http://schemas.openxmlformats.org/officeDocument/2006/relationships/hyperlink" Target="https://detail.tmall.com/item.htm?abbucket=11&amp;id=744920698405&amp;mi_id=00006zFY3Su5HnIaWpKWMGK9zr788DpFnmyn7rZB_aPwyDE&amp;ns=1&amp;priceTId=2147875d17616587474515001e0f06&amp;skuId=5139328589910&amp;spm=a21n57.1.hoverItem.2&amp;utparam=%7B%22aplus_abtest%22%3A%229d7576c40e5680f00f05922020a3d47e%22%7D&amp;xxc=taobaoSearch" TargetMode="External"/><Relationship Id="rId15" Type="http://schemas.openxmlformats.org/officeDocument/2006/relationships/hyperlink" Target="https://detail.tmall.com/item.htm?abbucket=11&amp;id=744920698405&amp;mi_id=00006zFY3Su5HnIaWpKWMGK9zr788DpFnmyn7rZB_aPwyDE&amp;ns=1&amp;priceTId=2147875d17616587474515001e0f06&amp;skuId=5139328589902&amp;spm=a21n57.1.hoverItem.2&amp;utparam=%7B%22aplus_abtest%22%3A%229d7576c40e5680f00f05922020a3d47e%22%7D&amp;xxc=taobaoSearch" TargetMode="External"/><Relationship Id="rId10" Type="http://schemas.openxmlformats.org/officeDocument/2006/relationships/hyperlink" Target="https://item.taobao.com/item.htm?ali_refid=a3_430582_1006%3A1150755585%3AH%3A2i7DwO68wrwGGnWKwfsGgQ%3D%3D%3Ae04daf305366d6adc3018d5a9685f6cf&amp;ali_trackid=282_e04daf305366d6adc3018d5a9685f6cf&amp;id=917777171756&amp;mi_id=0000CQnuePxgc_74nWYuiRGwlo_56ZbKsXcBRt6NC2SK6V4&amp;mm_sceneid=1_0_124108251_0&amp;priceTId=2150493c17616572425051714e0f37&amp;skuId=5953969726744&amp;spm=a21n57.1.hoverItem.1&amp;utparam=%7B%22aplus_abtest%22%3A%223ad6ce5945bd4344dc441a9f89e8802e%22%7D&amp;xxc=ad_ztc" TargetMode="External"/><Relationship Id="rId19" Type="http://schemas.openxmlformats.org/officeDocument/2006/relationships/hyperlink" Target="https://detail.tmall.com/item.htm?abbucket=11&amp;id=604488214053&amp;mi_id=0000q54D1mEeq2-kpNVMSm8O-2TZFzAwJixziwFaYFe7JA4&amp;ns=1&amp;priceTId=2147875d17616586169623892e0f06&amp;skuId=5466179842647&amp;spm=a21n57.1.hoverItem.7&amp;utparam=%7B%22aplus_abtest%22%3A%22309d6b90a941bbdfb3a34b5f8a8cd51a%22%7D&amp;xxc=taobaoSearch" TargetMode="External"/><Relationship Id="rId4" Type="http://schemas.openxmlformats.org/officeDocument/2006/relationships/hyperlink" Target="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273&amp;spm=a21n57.1.hoverItem.1&amp;utparam=%7B%22aplus_abtest%22%3A%22c262d592db8699fd14e6df87c62412a3%22%7D&amp;xxc=ad_ztc" TargetMode="External"/><Relationship Id="rId9" Type="http://schemas.openxmlformats.org/officeDocument/2006/relationships/hyperlink" Target="https://item.taobao.com/item.htm?ali_refid=a3_420434_1006%3A1277570097%3AN%3AB%2BkOVV%2BHdZncUH%2FNazPUxOyZ4gr%2FcyYp%3A2dc476bb65cd14726e37c7f2bce2bbe7&amp;ali_trackid=1_2dc476bb65cd14726e37c7f2bce2bbe7&amp;id=610732741297&amp;mi_id=000030XzoPuCjNymGDqhtDiOkX4ky6ftPZKQ4G_ltFYriJE&amp;mm_sceneid=1_0_83474843_0&amp;priceTId=214786a417614568954496204e0e73&amp;skuId=4502253595018&amp;spm=a21n57.1.hoverItem.2&amp;utparam=%7B%22aplus_abtest%22%3A%220b97c643cfc19e4500487c87499aa980%22%7D&amp;xxc=ad_ztc" TargetMode="External"/><Relationship Id="rId14" Type="http://schemas.openxmlformats.org/officeDocument/2006/relationships/hyperlink" Target="https://detail.tmall.com/item.htm?abbucket=11&amp;id=744920698405&amp;mi_id=00006zFY3Su5HnIaWpKWMGK9zr788DpFnmyn7rZB_aPwyDE&amp;ns=1&amp;priceTId=2147875d17616587474515001e0f06&amp;skuId=5139328589936&amp;spm=a21n57.1.hoverItem.2&amp;utparam=%7B%22aplus_abtest%22%3A%229d7576c40e5680f00f05922020a3d47e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activeCell="G24" sqref="G24"/>
    </sheetView>
  </sheetViews>
  <sheetFormatPr defaultRowHeight="13.9" x14ac:dyDescent="0.4"/>
  <cols>
    <col min="1" max="1" width="22.19921875" customWidth="1"/>
    <col min="6" max="6" width="43.86328125" customWidth="1"/>
    <col min="7" max="7" width="95.73046875" customWidth="1"/>
  </cols>
  <sheetData>
    <row r="1" spans="1:7" x14ac:dyDescent="0.4">
      <c r="A1" s="2" t="s">
        <v>0</v>
      </c>
      <c r="B1" s="2" t="s">
        <v>3</v>
      </c>
      <c r="C1" s="2" t="s">
        <v>5</v>
      </c>
      <c r="D1" s="2" t="s">
        <v>16</v>
      </c>
      <c r="E1" s="2" t="s">
        <v>40</v>
      </c>
      <c r="F1" s="2" t="s">
        <v>17</v>
      </c>
      <c r="G1" s="2" t="s">
        <v>2</v>
      </c>
    </row>
    <row r="2" spans="1:7" x14ac:dyDescent="0.4">
      <c r="A2" s="2" t="s">
        <v>1</v>
      </c>
      <c r="B2" s="2">
        <v>1</v>
      </c>
      <c r="C2" s="2">
        <v>3.3</v>
      </c>
      <c r="D2" s="2">
        <f>B2*C2</f>
        <v>3.3</v>
      </c>
      <c r="E2">
        <f>D2</f>
        <v>3.3</v>
      </c>
      <c r="F2" s="5" t="s">
        <v>19</v>
      </c>
      <c r="G2" s="6" t="s">
        <v>48</v>
      </c>
    </row>
    <row r="3" spans="1:7" x14ac:dyDescent="0.4">
      <c r="A3" s="2" t="s">
        <v>4</v>
      </c>
      <c r="B3" s="2">
        <v>4</v>
      </c>
      <c r="C3" s="2">
        <v>0.03</v>
      </c>
      <c r="D3" s="2">
        <f t="shared" ref="D3:D5" si="0">B3*C3</f>
        <v>0.12</v>
      </c>
      <c r="E3">
        <f t="shared" ref="E3:E24" si="1">D3</f>
        <v>0.12</v>
      </c>
      <c r="G3" s="6" t="s">
        <v>49</v>
      </c>
    </row>
    <row r="4" spans="1:7" x14ac:dyDescent="0.4">
      <c r="A4" s="2" t="s">
        <v>6</v>
      </c>
      <c r="B4" s="2">
        <v>1</v>
      </c>
      <c r="C4" s="2">
        <v>12.98</v>
      </c>
      <c r="D4" s="2">
        <f t="shared" si="0"/>
        <v>12.98</v>
      </c>
      <c r="E4">
        <f t="shared" si="1"/>
        <v>12.98</v>
      </c>
      <c r="G4" s="3" t="s">
        <v>50</v>
      </c>
    </row>
    <row r="5" spans="1:7" x14ac:dyDescent="0.4">
      <c r="A5" s="2" t="s">
        <v>31</v>
      </c>
      <c r="B5" s="2">
        <v>1</v>
      </c>
      <c r="C5" s="2">
        <v>0.03</v>
      </c>
      <c r="D5" s="2">
        <f t="shared" si="0"/>
        <v>0.03</v>
      </c>
      <c r="E5">
        <f t="shared" si="1"/>
        <v>0.03</v>
      </c>
      <c r="F5" s="2" t="s">
        <v>32</v>
      </c>
      <c r="G5" s="7" t="s">
        <v>43</v>
      </c>
    </row>
    <row r="6" spans="1:7" x14ac:dyDescent="0.4">
      <c r="A6" s="2" t="s">
        <v>9</v>
      </c>
      <c r="B6" s="2">
        <v>1</v>
      </c>
      <c r="C6" s="2">
        <f>3.03/20</f>
        <v>0.1515</v>
      </c>
      <c r="D6" s="2">
        <f t="shared" ref="D6:D24" si="2">B6*C6</f>
        <v>0.1515</v>
      </c>
      <c r="E6">
        <v>3.03</v>
      </c>
      <c r="F6" s="2" t="s">
        <v>20</v>
      </c>
      <c r="G6" s="1" t="s">
        <v>41</v>
      </c>
    </row>
    <row r="7" spans="1:7" x14ac:dyDescent="0.4">
      <c r="A7" s="2" t="s">
        <v>28</v>
      </c>
      <c r="B7" s="2">
        <v>1</v>
      </c>
      <c r="C7" s="2">
        <v>0.06</v>
      </c>
      <c r="D7" s="2">
        <f t="shared" si="2"/>
        <v>0.06</v>
      </c>
      <c r="E7">
        <f t="shared" si="1"/>
        <v>0.06</v>
      </c>
      <c r="F7" s="2" t="s">
        <v>33</v>
      </c>
      <c r="G7" s="1" t="s">
        <v>51</v>
      </c>
    </row>
    <row r="8" spans="1:7" x14ac:dyDescent="0.4">
      <c r="A8" s="2" t="s">
        <v>7</v>
      </c>
      <c r="B8" s="2">
        <v>1</v>
      </c>
      <c r="C8" s="2">
        <v>7.99</v>
      </c>
      <c r="D8" s="2">
        <f t="shared" si="2"/>
        <v>7.99</v>
      </c>
      <c r="E8">
        <f t="shared" si="1"/>
        <v>7.99</v>
      </c>
      <c r="G8" s="1" t="s">
        <v>52</v>
      </c>
    </row>
    <row r="9" spans="1:7" x14ac:dyDescent="0.4">
      <c r="A9" s="2" t="s">
        <v>8</v>
      </c>
      <c r="B9" s="2">
        <v>4</v>
      </c>
      <c r="C9" s="2">
        <f>1.5/50</f>
        <v>0.03</v>
      </c>
      <c r="D9" s="2">
        <f t="shared" si="2"/>
        <v>0.12</v>
      </c>
      <c r="E9">
        <v>1.5</v>
      </c>
      <c r="F9" s="4" t="s">
        <v>18</v>
      </c>
      <c r="G9" s="1" t="s">
        <v>53</v>
      </c>
    </row>
    <row r="10" spans="1:7" x14ac:dyDescent="0.4">
      <c r="A10" s="2" t="s">
        <v>15</v>
      </c>
      <c r="B10" s="2">
        <v>2</v>
      </c>
      <c r="C10" s="2">
        <f>3/50</f>
        <v>0.06</v>
      </c>
      <c r="D10" s="2">
        <f t="shared" si="2"/>
        <v>0.12</v>
      </c>
      <c r="E10">
        <v>3</v>
      </c>
      <c r="F10" s="4" t="s">
        <v>18</v>
      </c>
      <c r="G10" s="1" t="s">
        <v>54</v>
      </c>
    </row>
    <row r="11" spans="1:7" x14ac:dyDescent="0.4">
      <c r="A11" s="2" t="s">
        <v>11</v>
      </c>
      <c r="B11" s="2">
        <v>2</v>
      </c>
      <c r="C11" s="2">
        <f>2/50</f>
        <v>0.04</v>
      </c>
      <c r="D11" s="2">
        <f t="shared" si="2"/>
        <v>0.08</v>
      </c>
      <c r="E11">
        <v>2</v>
      </c>
      <c r="F11" s="4" t="s">
        <v>18</v>
      </c>
      <c r="G11" s="1" t="s">
        <v>55</v>
      </c>
    </row>
    <row r="12" spans="1:7" x14ac:dyDescent="0.4">
      <c r="A12" s="2" t="s">
        <v>34</v>
      </c>
      <c r="B12" s="2">
        <v>2</v>
      </c>
      <c r="C12" s="2">
        <f>2.5/50</f>
        <v>0.05</v>
      </c>
      <c r="D12" s="2">
        <f t="shared" si="2"/>
        <v>0.1</v>
      </c>
      <c r="E12">
        <v>2.5</v>
      </c>
      <c r="F12" s="4" t="s">
        <v>18</v>
      </c>
      <c r="G12" s="1" t="s">
        <v>56</v>
      </c>
    </row>
    <row r="13" spans="1:7" x14ac:dyDescent="0.4">
      <c r="A13" s="2" t="s">
        <v>35</v>
      </c>
      <c r="B13" s="2">
        <v>6</v>
      </c>
      <c r="C13" s="2">
        <f>6.5/50</f>
        <v>0.13</v>
      </c>
      <c r="D13" s="2">
        <f t="shared" si="2"/>
        <v>0.78</v>
      </c>
      <c r="E13">
        <v>6.5</v>
      </c>
      <c r="F13" s="4" t="s">
        <v>18</v>
      </c>
      <c r="G13" s="1" t="s">
        <v>46</v>
      </c>
    </row>
    <row r="14" spans="1:7" x14ac:dyDescent="0.4">
      <c r="A14" s="2" t="s">
        <v>13</v>
      </c>
      <c r="B14" s="2">
        <v>2</v>
      </c>
      <c r="C14" s="2">
        <f>3.79/100</f>
        <v>3.7900000000000003E-2</v>
      </c>
      <c r="D14" s="2">
        <f t="shared" si="2"/>
        <v>7.5800000000000006E-2</v>
      </c>
      <c r="E14">
        <v>3.79</v>
      </c>
      <c r="F14" s="2" t="s">
        <v>18</v>
      </c>
      <c r="G14" s="1" t="s">
        <v>57</v>
      </c>
    </row>
    <row r="15" spans="1:7" x14ac:dyDescent="0.4">
      <c r="A15" s="2" t="s">
        <v>29</v>
      </c>
      <c r="B15" s="2">
        <v>1</v>
      </c>
      <c r="C15" s="2">
        <f>3.79/100</f>
        <v>3.7900000000000003E-2</v>
      </c>
      <c r="D15" s="2">
        <f t="shared" si="2"/>
        <v>3.7900000000000003E-2</v>
      </c>
      <c r="E15">
        <v>3.79</v>
      </c>
      <c r="F15" s="4" t="s">
        <v>18</v>
      </c>
      <c r="G15" s="6" t="s">
        <v>45</v>
      </c>
    </row>
    <row r="16" spans="1:7" x14ac:dyDescent="0.4">
      <c r="A16" s="2" t="s">
        <v>30</v>
      </c>
      <c r="B16" s="2">
        <v>1</v>
      </c>
      <c r="C16" s="2">
        <f>3.79/100</f>
        <v>3.7900000000000003E-2</v>
      </c>
      <c r="D16" s="2">
        <f t="shared" si="2"/>
        <v>3.7900000000000003E-2</v>
      </c>
      <c r="E16">
        <v>3.79</v>
      </c>
      <c r="F16" s="4" t="s">
        <v>18</v>
      </c>
      <c r="G16" s="1" t="s">
        <v>58</v>
      </c>
    </row>
    <row r="17" spans="1:7" x14ac:dyDescent="0.4">
      <c r="A17" s="2" t="s">
        <v>36</v>
      </c>
      <c r="B17" s="2">
        <v>1</v>
      </c>
      <c r="C17" s="2">
        <f>3.79/100</f>
        <v>3.7900000000000003E-2</v>
      </c>
      <c r="D17" s="2">
        <f t="shared" si="2"/>
        <v>3.7900000000000003E-2</v>
      </c>
      <c r="E17">
        <v>3.79</v>
      </c>
      <c r="F17" s="4" t="s">
        <v>18</v>
      </c>
      <c r="G17" s="1" t="s">
        <v>59</v>
      </c>
    </row>
    <row r="18" spans="1:7" x14ac:dyDescent="0.4">
      <c r="A18" s="2" t="s">
        <v>37</v>
      </c>
      <c r="B18" s="2">
        <v>1</v>
      </c>
      <c r="C18" s="2">
        <f>5.06/100</f>
        <v>5.0599999999999999E-2</v>
      </c>
      <c r="D18" s="2">
        <f t="shared" si="2"/>
        <v>5.0599999999999999E-2</v>
      </c>
      <c r="E18">
        <v>5.0599999999999996</v>
      </c>
      <c r="F18" s="4" t="s">
        <v>18</v>
      </c>
      <c r="G18" s="1" t="s">
        <v>60</v>
      </c>
    </row>
    <row r="19" spans="1:7" x14ac:dyDescent="0.4">
      <c r="A19" s="2" t="s">
        <v>38</v>
      </c>
      <c r="B19" s="2">
        <v>1</v>
      </c>
      <c r="C19" s="2">
        <f>2.28/20</f>
        <v>0.11399999999999999</v>
      </c>
      <c r="D19" s="2">
        <f t="shared" si="2"/>
        <v>0.11399999999999999</v>
      </c>
      <c r="E19">
        <v>2.2799999999999998</v>
      </c>
      <c r="F19" s="4" t="s">
        <v>18</v>
      </c>
      <c r="G19" s="1" t="s">
        <v>47</v>
      </c>
    </row>
    <row r="20" spans="1:7" x14ac:dyDescent="0.4">
      <c r="A20" s="2" t="s">
        <v>10</v>
      </c>
      <c r="B20" s="2">
        <v>1</v>
      </c>
      <c r="C20" s="2">
        <v>0.25</v>
      </c>
      <c r="D20" s="2">
        <f t="shared" si="2"/>
        <v>0.25</v>
      </c>
      <c r="E20">
        <f t="shared" si="1"/>
        <v>0.25</v>
      </c>
      <c r="F20" s="2" t="s">
        <v>21</v>
      </c>
      <c r="G20" s="6" t="s">
        <v>61</v>
      </c>
    </row>
    <row r="21" spans="1:7" x14ac:dyDescent="0.4">
      <c r="A21" s="2" t="s">
        <v>12</v>
      </c>
      <c r="B21" s="2">
        <v>1</v>
      </c>
      <c r="C21" s="2">
        <v>0.05</v>
      </c>
      <c r="D21" s="2">
        <f t="shared" si="2"/>
        <v>0.05</v>
      </c>
      <c r="E21">
        <f t="shared" si="1"/>
        <v>0.05</v>
      </c>
      <c r="F21" s="2" t="s">
        <v>22</v>
      </c>
      <c r="G21" s="6" t="s">
        <v>42</v>
      </c>
    </row>
    <row r="22" spans="1:7" x14ac:dyDescent="0.4">
      <c r="A22" s="2" t="s">
        <v>14</v>
      </c>
      <c r="B22" s="2">
        <v>1</v>
      </c>
      <c r="C22" s="2">
        <f>1.8/20</f>
        <v>0.09</v>
      </c>
      <c r="D22" s="2">
        <f t="shared" si="2"/>
        <v>0.09</v>
      </c>
      <c r="E22">
        <v>1.8</v>
      </c>
      <c r="F22" s="2" t="s">
        <v>23</v>
      </c>
      <c r="G22" s="7" t="s">
        <v>24</v>
      </c>
    </row>
    <row r="23" spans="1:7" x14ac:dyDescent="0.4">
      <c r="A23" s="2" t="s">
        <v>26</v>
      </c>
      <c r="B23" s="2">
        <v>1</v>
      </c>
      <c r="C23" s="2"/>
      <c r="D23" s="2">
        <f t="shared" si="2"/>
        <v>0</v>
      </c>
      <c r="E23">
        <f t="shared" si="1"/>
        <v>0</v>
      </c>
    </row>
    <row r="24" spans="1:7" x14ac:dyDescent="0.4">
      <c r="A24" s="2" t="s">
        <v>27</v>
      </c>
      <c r="B24" s="2">
        <v>1</v>
      </c>
      <c r="C24" s="2">
        <v>0.79</v>
      </c>
      <c r="D24" s="2">
        <f t="shared" si="2"/>
        <v>0.79</v>
      </c>
      <c r="E24">
        <f t="shared" si="1"/>
        <v>0.79</v>
      </c>
      <c r="F24" s="2" t="s">
        <v>39</v>
      </c>
      <c r="G24" s="3" t="s">
        <v>44</v>
      </c>
    </row>
    <row r="25" spans="1:7" x14ac:dyDescent="0.4">
      <c r="A25" s="2" t="s">
        <v>25</v>
      </c>
      <c r="B25" s="2"/>
      <c r="D25" s="2">
        <f>SUM(D2:D24)</f>
        <v>27.365600000000001</v>
      </c>
      <c r="E25">
        <f>SUM(E2:E24)</f>
        <v>68.399999999999991</v>
      </c>
    </row>
  </sheetData>
  <phoneticPr fontId="1" type="noConversion"/>
  <hyperlinks>
    <hyperlink ref="G6" r:id="rId1" xr:uid="{FF49E8F7-CE92-4DDB-A1AD-76A03C9B9038}"/>
    <hyperlink ref="G21" r:id="rId2" display="https://item.taobao.com/item.htm?abbucket=11&amp;id=818591666703&amp;mi_id=000025WvXo3V1tPCbsy-o0wNFrhygIqH-LAiFwJN6M1GONQ&amp;ns=1&amp;priceTId=2147804017616575149658725e0eaf&amp;skuId=5691215203228&amp;spm=a21n57.1.hoverItem.2&amp;utparam=%7B%22aplus_abtest%22%3A%228029cc430293b67bb3b4d8f812f2856f%22%7D&amp;xxc=taobaoSearch" xr:uid="{6CE3DD2D-CFDC-4BDC-AA9E-6827BEA53610}"/>
    <hyperlink ref="G5" r:id="rId3" display="https://item.taobao.com/item.htm?ali_refid=a3_430582_1006%3A1150755585%3AH%3A2i7DwO68wrwGGnWKwfsGgQ%3D%3D%3Ae04daf305366d6adc3018d5a9685f6cf&amp;ali_trackid=282_e04daf305366d6adc3018d5a9685f6cf&amp;id=917777171756&amp;mi_id=0000CQnuePxgc_74nWYuiRGwlo_56ZbKsXcBRt6NC2SK6V4&amp;mm_sceneid=1_0_124108251_0&amp;priceTId=2150493c17616572425051714e0f37&amp;skuId=5953969726732&amp;spm=a21n57.1.hoverItem.1&amp;utparam=%7B%22aplus_abtest%22%3A%223ad6ce5945bd4344dc441a9f89e8802e%22%7D&amp;xxc=ad_ztc" xr:uid="{40D2AA98-4CC1-44C2-BB84-2E966D129742}"/>
    <hyperlink ref="G15" r:id="rId4" display="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273&amp;spm=a21n57.1.hoverItem.1&amp;utparam=%7B%22aplus_abtest%22%3A%22c262d592db8699fd14e6df87c62412a3%22%7D&amp;xxc=ad_ztc" xr:uid="{3A0FE19F-7B57-4FA2-BD15-355889F5B4B0}"/>
    <hyperlink ref="G13" r:id="rId5" display="https://detail.tmall.com/item.htm?abbucket=11&amp;id=744920698405&amp;mi_id=00006zFY3Su5HnIaWpKWMGK9zr788DpFnmyn7rZB_aPwyDE&amp;ns=1&amp;priceTId=2147875d17616587474515001e0f06&amp;skuId=5139328589910&amp;spm=a21n57.1.hoverItem.2&amp;utparam=%7B%22aplus_abtest%22%3A%229d7576c40e5680f00f05922020a3d47e%22%7D&amp;xxc=taobaoSearch" xr:uid="{1CF2195A-DF70-483C-8B7E-C4E47F0FB166}"/>
    <hyperlink ref="G19" r:id="rId6" display="https://detail.tmall.com/item.htm?abbucket=11&amp;id=16984526130&amp;mi_id=00006ct7uich7uWMQTqCH36k531WB7iLVSxmsdV2pq7hz4A&amp;ns=1&amp;priceTId=2147875d17616587060372018e0f06&amp;skuId=3972253815754&amp;spm=a21n57.1.hoverItem.2&amp;utparam=%7B%22aplus_abtest%22%3A%228d510e77de99e6cb3021e3d1bbfa8a66%22%7D&amp;xxc=taobaoSearch" xr:uid="{3C3668E7-3133-439C-B572-55E0142BF04E}"/>
    <hyperlink ref="G22" r:id="rId7" display="https://detail.tmall.com/item.htm?abbucket=11&amp;id=762196206544&amp;mi_id=0000MFV83QHSTPLaa3kSatZD5vNd9k0lzMQ-YoUCI5zce-g&amp;ns=1&amp;priceTId=213e091417615383647787968e11d8&amp;skuId=5253527517105&amp;spm=a21n57.1.hoverItem.2&amp;utparam=%7B%22aplus_abtest%22%3A%2282b1d09c12b36363234bd046a17e54e4%22%7D&amp;xxc=taobaoSearch" xr:uid="{167B708E-A50D-4BDC-87E6-2A5C8C49758A}"/>
    <hyperlink ref="G2" r:id="rId8" display="https://item.taobao.com/item.htm?ali_refid=a3_430673_1006%3A1301150119%3AN%3AqSoTPPop0lsoTlT303GNfywdOHXfRGA2%3A185cfea4f64ced19648ccbf6f82ded4d&amp;ali_trackid=1_185cfea4f64ced19648ccbf6f82ded4d&amp;id=619822498608&amp;mi_id=0000A3GKHVV0T66T0aEbSE86XcCQHy_CP_ujVufCT9Nk0Uo&amp;mm_sceneid=1_0_1015530126_0&amp;priceTId=2147876e17614547505596058e0e63&amp;skuId=4550777703787&amp;spm=a21n57.sem.item.13&amp;utparam=%7B%22aplus_abtest%22%3A%22c46f22cef8052123988916c517e9cb9c%22%7D&amp;xxc=ad_ztc" xr:uid="{D9100FEE-BBF4-4357-9418-BD5079508F47}"/>
    <hyperlink ref="G3" r:id="rId9" display="https://item.taobao.com/item.htm?ali_refid=a3_420434_1006%3A1277570097%3AN%3AB%2BkOVV%2BHdZncUH%2FNazPUxOyZ4gr%2FcyYp%3A2dc476bb65cd14726e37c7f2bce2bbe7&amp;ali_trackid=1_2dc476bb65cd14726e37c7f2bce2bbe7&amp;id=610732741297&amp;mi_id=000030XzoPuCjNymGDqhtDiOkX4ky6ftPZKQ4G_ltFYriJE&amp;mm_sceneid=1_0_83474843_0&amp;priceTId=214786a417614568954496204e0e73&amp;skuId=4502253595018&amp;spm=a21n57.1.hoverItem.2&amp;utparam=%7B%22aplus_abtest%22%3A%220b97c643cfc19e4500487c87499aa980%22%7D&amp;xxc=ad_ztc" xr:uid="{19177B7C-74C5-4C57-9383-01B169BAB408}"/>
    <hyperlink ref="G7" r:id="rId10" display="https://item.taobao.com/item.htm?ali_refid=a3_430582_1006%3A1150755585%3AH%3A2i7DwO68wrwGGnWKwfsGgQ%3D%3D%3Ae04daf305366d6adc3018d5a9685f6cf&amp;ali_trackid=282_e04daf305366d6adc3018d5a9685f6cf&amp;id=917777171756&amp;mi_id=0000CQnuePxgc_74nWYuiRGwlo_56ZbKsXcBRt6NC2SK6V4&amp;mm_sceneid=1_0_124108251_0&amp;priceTId=2150493c17616572425051714e0f37&amp;skuId=5953969726744&amp;spm=a21n57.1.hoverItem.1&amp;utparam=%7B%22aplus_abtest%22%3A%223ad6ce5945bd4344dc441a9f89e8802e%22%7D&amp;xxc=ad_ztc" xr:uid="{228E8551-6C5E-48B9-925F-D381705C70F9}"/>
    <hyperlink ref="G8" r:id="rId11" display="https://item.taobao.com/item.htm?abbucket=11&amp;id=643412491153&amp;mi_id=000093Q5lilvyPeTxK0x9d5QEpfUCRr8TzT2IDkjBacFbbw&amp;ns=1&amp;priceTId=2147814717614803969874586e0e9b&amp;skuId=4622854456307&amp;spm=a21n57.1.hoverItem.49&amp;utparam=%7B%22aplus_abtest%22%3A%220d912624e318f6e56804fca08870d8b2%22%7D&amp;xxc=taobaoSearch" xr:uid="{5DEBA9B2-74FC-477D-BA5F-08DAEDBDDB2E}"/>
    <hyperlink ref="G9" r:id="rId12" display="https://detail.tmall.com/item.htm?abbucket=11&amp;id=744920698405&amp;mi_id=00006zFY3Su5HnIaWpKWMGK9zr788DpFnmyn7rZB_aPwyDE&amp;ns=1&amp;priceTId=2147875d17616587474515001e0f06&amp;skuId=5139328589869&amp;spm=a21n57.1.hoverItem.2&amp;utparam=%7B%22aplus_abtest%22%3A%229d7576c40e5680f00f05922020a3d47e%22%7D&amp;xxc=taobaoSearch" xr:uid="{01C55774-CF04-4402-A520-A69293BC0CA3}"/>
    <hyperlink ref="G10" r:id="rId13" display="https://detail.tmall.com/item.htm?abbucket=11&amp;id=744920698405&amp;mi_id=00006zFY3Su5HnIaWpKWMGK9zr788DpFnmyn7rZB_aPwyDE&amp;ns=1&amp;priceTId=2147875d17616587474515001e0f06&amp;skuId=5139328589890&amp;spm=a21n57.1.hoverItem.2&amp;utparam=%7B%22aplus_abtest%22%3A%229d7576c40e5680f00f05922020a3d47e%22%7D&amp;xxc=taobaoSearch" xr:uid="{A3D09525-A9F4-4348-BC00-4464489CD318}"/>
    <hyperlink ref="G11" r:id="rId14" display="https://detail.tmall.com/item.htm?abbucket=11&amp;id=744920698405&amp;mi_id=00006zFY3Su5HnIaWpKWMGK9zr788DpFnmyn7rZB_aPwyDE&amp;ns=1&amp;priceTId=2147875d17616587474515001e0f06&amp;skuId=5139328589936&amp;spm=a21n57.1.hoverItem.2&amp;utparam=%7B%22aplus_abtest%22%3A%229d7576c40e5680f00f05922020a3d47e%22%7D&amp;xxc=taobaoSearch" xr:uid="{29A7B32B-DFC0-4260-9154-53EC71664C61}"/>
    <hyperlink ref="G12" r:id="rId15" display="https://detail.tmall.com/item.htm?abbucket=11&amp;id=744920698405&amp;mi_id=00006zFY3Su5HnIaWpKWMGK9zr788DpFnmyn7rZB_aPwyDE&amp;ns=1&amp;priceTId=2147875d17616587474515001e0f06&amp;skuId=5139328589902&amp;spm=a21n57.1.hoverItem.2&amp;utparam=%7B%22aplus_abtest%22%3A%229d7576c40e5680f00f05922020a3d47e%22%7D&amp;xxc=taobaoSearch" xr:uid="{DCB441D0-D9E8-48DF-9011-C90DBA618B1D}"/>
    <hyperlink ref="G14" r:id="rId16" display="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190&amp;spm=a21n57.1.hoverItem.1&amp;utparam=%7B%22aplus_abtest%22%3A%22c262d592db8699fd14e6df87c62412a3%22%7D&amp;xxc=ad_ztc" xr:uid="{81349DF8-A5D2-40A4-AFD2-25FAFF45C0C7}"/>
    <hyperlink ref="G16" r:id="rId17" display="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316&amp;spm=a21n57.1.hoverItem.1&amp;utparam=%7B%22aplus_abtest%22%3A%22c262d592db8699fd14e6df87c62412a3%22%7D&amp;xxc=ad_ztc" xr:uid="{43F97C08-C85E-4210-93D5-DD0AE7245A8F}"/>
    <hyperlink ref="G17" r:id="rId18" display="https://detail.tmall.com/item.htm?ali_refid=a3_430582_1006%3A1104520036%3AH%3Ah%2BR37wf9avkrDgI3KhFpA1Q5pPZzcFRL%3A2ff0857078da4aff60ff92fc96f4ac2c&amp;ali_trackid=318_2ff0857078da4aff60ff92fc96f4ac2c&amp;id=529532295464&amp;mi_id=0000HyWw8QKAcyxnY8COu9PoRfhjYVkXWHkm85L7W5cjRV4&amp;mm_sceneid=0_0_28706210_0&amp;priceTId=2147875d17616583700554306e0f06&amp;skuId=5887249590286&amp;spm=a21n57.1.hoverItem.1&amp;utparam=%7B%22aplus_abtest%22%3A%22c262d592db8699fd14e6df87c62412a3%22%7D&amp;xxc=ad_ztc" xr:uid="{D869E33B-DC89-40EC-A78E-317471C1072B}"/>
    <hyperlink ref="G18" r:id="rId19" display="https://detail.tmall.com/item.htm?abbucket=11&amp;id=604488214053&amp;mi_id=0000q54D1mEeq2-kpNVMSm8O-2TZFzAwJixziwFaYFe7JA4&amp;ns=1&amp;priceTId=2147875d17616586169623892e0f06&amp;skuId=5466179842647&amp;spm=a21n57.1.hoverItem.7&amp;utparam=%7B%22aplus_abtest%22%3A%22309d6b90a941bbdfb3a34b5f8a8cd51a%22%7D&amp;xxc=taobaoSearch" xr:uid="{ACAB795E-5C9D-4C2B-B6C3-DD571F9E3E17}"/>
    <hyperlink ref="G20" r:id="rId20" display="https://item.taobao.com/item.htm?abbucket=11&amp;id=622298744726&amp;mi_id=0000g2nEvmRX0eRFZcDYP6B4kQAvtg_m7YHJ-xi6wJpSY-4&amp;ns=1&amp;priceTId=213e08d217614828864027089e0fef&amp;spm=a21n57.1.hoverItem.14&amp;utparam=%7B%22aplus_abtest%22%3A%228c09761aba2b87ab29d2a1dc9c443706%22%7D&amp;xxc=taobaoSearch" xr:uid="{C963676C-4A0E-45A5-AB31-CF1FF0C908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王永健</dc:creator>
  <cp:lastModifiedBy>永健 王</cp:lastModifiedBy>
  <dcterms:created xsi:type="dcterms:W3CDTF">2015-06-05T18:19:34Z</dcterms:created>
  <dcterms:modified xsi:type="dcterms:W3CDTF">2025-10-31T04:23:45Z</dcterms:modified>
</cp:coreProperties>
</file>